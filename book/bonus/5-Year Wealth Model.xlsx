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Year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name val="Georgia"/>
      <b val="1"/>
      <color rgb="002B2823"/>
      <sz val="16"/>
    </font>
    <font>
      <name val="Calibri"/>
      <i val="1"/>
      <color rgb="00787060"/>
      <sz val="9"/>
    </font>
    <font>
      <name val="Calibri"/>
      <b val="1"/>
      <color rgb="002B2823"/>
      <sz val="10"/>
    </font>
    <font>
      <name val="Calibri"/>
      <color rgb="002B2823"/>
      <sz val="10"/>
    </font>
    <font>
      <name val="Georgia"/>
      <b val="1"/>
      <color rgb="00FFFFFF"/>
      <sz val="11"/>
    </font>
    <font>
      <name val="Georgia"/>
      <b val="1"/>
      <color rgb="002B2823"/>
      <sz val="13"/>
    </font>
  </fonts>
  <fills count="4">
    <fill>
      <patternFill/>
    </fill>
    <fill>
      <patternFill patternType="gray125"/>
    </fill>
    <fill>
      <patternFill patternType="solid">
        <fgColor rgb="00E5E3DA"/>
      </patternFill>
    </fill>
    <fill>
      <patternFill patternType="solid">
        <fgColor rgb="00787060"/>
      </patternFill>
    </fill>
  </fills>
  <borders count="2">
    <border>
      <left/>
      <right/>
      <top/>
      <bottom/>
      <diagonal/>
    </border>
    <border>
      <bottom style="thin">
        <color rgb="00CCC9B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3" fillId="2" borderId="0" pivotButton="0" quotePrefix="0" xfId="0"/>
    <xf numFmtId="164" fontId="3" fillId="2" borderId="0" pivotButton="0" quotePrefix="0" xfId="0"/>
    <xf numFmtId="0" fontId="5" fillId="3" borderId="0" applyAlignment="1" pivotButton="0" quotePrefix="0" xfId="0">
      <alignment horizontal="center" wrapText="1"/>
    </xf>
    <xf numFmtId="165" fontId="4" fillId="0" borderId="1" pivotButton="0" quotePrefix="0" xfId="0"/>
    <xf numFmtId="165" fontId="3" fillId="0" borderId="1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The 5-Year Wealth Model — Vacation Rentals That Pay You</t>
        </is>
      </c>
    </row>
    <row r="2">
      <c r="A2" s="2" t="inlineStr">
        <is>
          <t>Edit the shaded assumption cells; everything downstream recalculates. Hypothetical model, not a projection of your results.</t>
        </is>
      </c>
    </row>
    <row r="4">
      <c r="A4" s="3" t="inlineStr">
        <is>
          <t>ASSUMPTIONS (edit the shaded cells)</t>
        </is>
      </c>
    </row>
    <row r="5">
      <c r="A5" s="4" t="inlineStr">
        <is>
          <t>Property 1 net cash flow / month</t>
        </is>
      </c>
      <c r="B5" s="5" t="n">
        <v>2000</v>
      </c>
      <c r="C5" s="2" t="inlineStr">
        <is>
          <t>After ALL expenses and the mortgage</t>
        </is>
      </c>
    </row>
    <row r="6">
      <c r="A6" s="4" t="inlineStr">
        <is>
          <t>Property 2 net cash flow / month</t>
        </is>
      </c>
      <c r="B6" s="5" t="n">
        <v>1800</v>
      </c>
      <c r="C6" s="2" t="inlineStr">
        <is>
          <t>Added in Year 2</t>
        </is>
      </c>
    </row>
    <row r="7">
      <c r="A7" s="4" t="inlineStr">
        <is>
          <t>Property 3 net cash flow / month</t>
        </is>
      </c>
      <c r="B7" s="5" t="n">
        <v>1700</v>
      </c>
      <c r="C7" s="2" t="inlineStr">
        <is>
          <t>Added in Year 3</t>
        </is>
      </c>
    </row>
    <row r="8">
      <c r="A8" s="4" t="inlineStr">
        <is>
          <t>Property 4 net cash flow / month</t>
        </is>
      </c>
      <c r="B8" s="5" t="n">
        <v>1600</v>
      </c>
      <c r="C8" s="2" t="inlineStr">
        <is>
          <t>Added in Year 4</t>
        </is>
      </c>
    </row>
    <row r="9">
      <c r="A9" s="4" t="inlineStr">
        <is>
          <t>Year 5 average net cash flow / month (optimized)</t>
        </is>
      </c>
      <c r="B9" s="5" t="n">
        <v>1900</v>
      </c>
      <c r="C9" s="2" t="inlineStr">
        <is>
          <t>All four properties after the optimization year</t>
        </is>
      </c>
    </row>
    <row r="10">
      <c r="A10" s="4" t="inlineStr">
        <is>
          <t>Property 1 value</t>
        </is>
      </c>
      <c r="B10" s="5" t="n">
        <v>250000</v>
      </c>
      <c r="C10" s="2" t="inlineStr">
        <is>
          <t>After renovation</t>
        </is>
      </c>
    </row>
    <row r="11">
      <c r="A11" s="4" t="inlineStr">
        <is>
          <t>Properties 2–4 value (each)</t>
        </is>
      </c>
      <c r="B11" s="5" t="n">
        <v>200000</v>
      </c>
      <c r="C11" s="2" t="inlineStr">
        <is>
          <t>Carried at purchase price — renovation value uncounted, on purpose</t>
        </is>
      </c>
    </row>
    <row r="12">
      <c r="A12" s="4" t="inlineStr">
        <is>
          <t>Rural appreciation rate</t>
        </is>
      </c>
      <c r="B12" s="6" t="n">
        <v>0.025</v>
      </c>
      <c r="C12" s="2" t="inlineStr">
        <is>
          <t>Model 2.5%; treat discovery pops as bonus</t>
        </is>
      </c>
    </row>
    <row r="13">
      <c r="A13" s="4" t="inlineStr">
        <is>
          <t>Your tax bracket</t>
        </is>
      </c>
      <c r="B13" s="6" t="n">
        <v>0.32</v>
      </c>
      <c r="C13" s="2" t="inlineStr">
        <is>
          <t>Deductions are counted at CASH value: face × bracket</t>
        </is>
      </c>
    </row>
    <row r="14">
      <c r="A14" s="4" t="inlineStr">
        <is>
          <t>First-year deductions per property (face)</t>
        </is>
      </c>
      <c r="B14" s="5" t="n">
        <v>12000</v>
      </c>
      <c r="C14" s="2" t="inlineStr">
        <is>
          <t>Deliberately below the itemized $18–22K range</t>
        </is>
      </c>
    </row>
    <row r="15">
      <c r="A15" s="4" t="inlineStr">
        <is>
          <t>Second-year deductions per property (face)</t>
        </is>
      </c>
      <c r="B15" s="5" t="n">
        <v>10000</v>
      </c>
      <c r="C15" s="2" t="inlineStr">
        <is>
          <t>Furniture depreciation burning off</t>
        </is>
      </c>
    </row>
    <row r="16">
      <c r="A16" s="4" t="inlineStr">
        <is>
          <t>Third-year deductions per property (face)</t>
        </is>
      </c>
      <c r="B16" s="5" t="n">
        <v>9500</v>
      </c>
      <c r="C16" s="2" t="inlineStr"/>
    </row>
    <row r="17">
      <c r="A17" s="4" t="inlineStr">
        <is>
          <t>Fourth-year deductions per property (face)</t>
        </is>
      </c>
      <c r="B17" s="5" t="n">
        <v>8500</v>
      </c>
      <c r="C17" s="2" t="inlineStr"/>
    </row>
    <row r="19">
      <c r="A19" s="7" t="inlineStr">
        <is>
          <t>Year</t>
        </is>
      </c>
      <c r="B19" s="7" t="inlineStr">
        <is>
          <t>Properties</t>
        </is>
      </c>
      <c r="C19" s="7" t="inlineStr">
        <is>
          <t>Net cash flow</t>
        </is>
      </c>
      <c r="D19" s="7" t="inlineStr">
        <is>
          <t>Appreciation</t>
        </is>
      </c>
      <c r="E19" s="7" t="inlineStr">
        <is>
          <t>Deductions (face)</t>
        </is>
      </c>
      <c r="F19" s="7" t="inlineStr">
        <is>
          <t>Deductions (cash value)</t>
        </is>
      </c>
      <c r="G19" s="7" t="inlineStr">
        <is>
          <t>Wealth created</t>
        </is>
      </c>
      <c r="H19" s="7" t="inlineStr">
        <is>
          <t>Running total</t>
        </is>
      </c>
    </row>
    <row r="20">
      <c r="A20" s="3" t="n">
        <v>1</v>
      </c>
      <c r="B20" s="4" t="n">
        <v>1</v>
      </c>
      <c r="C20" s="8">
        <f>$B$5*12</f>
        <v/>
      </c>
      <c r="D20" s="8">
        <f>$B$10*$B$12</f>
        <v/>
      </c>
      <c r="E20" s="8">
        <f>$B$14</f>
        <v/>
      </c>
      <c r="F20" s="8">
        <f>E20*$B$13</f>
        <v/>
      </c>
      <c r="G20" s="9">
        <f>C20+D20+F20</f>
        <v/>
      </c>
      <c r="H20" s="9">
        <f>G20</f>
        <v/>
      </c>
    </row>
    <row r="21">
      <c r="A21" s="3" t="n">
        <v>2</v>
      </c>
      <c r="B21" s="4" t="n">
        <v>2</v>
      </c>
      <c r="C21" s="8">
        <f>($B$5+$B$6)*12</f>
        <v/>
      </c>
      <c r="D21" s="8">
        <f>$B$10*$B$12+$B$11*$B$12</f>
        <v/>
      </c>
      <c r="E21" s="8">
        <f>$B$14+$B$15</f>
        <v/>
      </c>
      <c r="F21" s="8">
        <f>E21*$B$13</f>
        <v/>
      </c>
      <c r="G21" s="9">
        <f>C21+D21+F21</f>
        <v/>
      </c>
      <c r="H21" s="9">
        <f>H20+G21</f>
        <v/>
      </c>
    </row>
    <row r="22">
      <c r="A22" s="3" t="n">
        <v>3</v>
      </c>
      <c r="B22" s="4" t="n">
        <v>3</v>
      </c>
      <c r="C22" s="8">
        <f>($B$5+$B$6+$B$7)*12</f>
        <v/>
      </c>
      <c r="D22" s="8">
        <f>$B$10*$B$12+2*$B$11*$B$12</f>
        <v/>
      </c>
      <c r="E22" s="8">
        <f>$B$14+$B$15+$B$16</f>
        <v/>
      </c>
      <c r="F22" s="8">
        <f>E22*$B$13</f>
        <v/>
      </c>
      <c r="G22" s="9">
        <f>C22+D22+F22</f>
        <v/>
      </c>
      <c r="H22" s="9">
        <f>H21+G22</f>
        <v/>
      </c>
    </row>
    <row r="23">
      <c r="A23" s="3" t="n">
        <v>4</v>
      </c>
      <c r="B23" s="4" t="n">
        <v>4</v>
      </c>
      <c r="C23" s="8">
        <f>($B$5+$B$6+$B$7+$B$8)*12</f>
        <v/>
      </c>
      <c r="D23" s="8">
        <f>$B$10*$B$12+3*$B$11*$B$12</f>
        <v/>
      </c>
      <c r="E23" s="8">
        <f>$B$14+$B$15+$B$16+$B$17</f>
        <v/>
      </c>
      <c r="F23" s="8">
        <f>E23*$B$13</f>
        <v/>
      </c>
      <c r="G23" s="9">
        <f>C23+D23+F23</f>
        <v/>
      </c>
      <c r="H23" s="9">
        <f>H22+G23</f>
        <v/>
      </c>
    </row>
    <row r="24">
      <c r="A24" s="3" t="n">
        <v>5</v>
      </c>
      <c r="B24" s="4" t="n">
        <v>4</v>
      </c>
      <c r="C24" s="8">
        <f>$B$9*4*12</f>
        <v/>
      </c>
      <c r="D24" s="8">
        <f>$B$10*$B$12+3*$B$11*$B$12</f>
        <v/>
      </c>
      <c r="E24" s="8">
        <f>$B$14+$B$15+$B$16+$B$17</f>
        <v/>
      </c>
      <c r="F24" s="8">
        <f>E24*$B$13</f>
        <v/>
      </c>
      <c r="G24" s="9">
        <f>C24+D24+F24</f>
        <v/>
      </c>
      <c r="H24" s="9">
        <f>H23+G24</f>
        <v/>
      </c>
    </row>
    <row r="26">
      <c r="A26" s="3" t="inlineStr">
        <is>
          <t>Five-year total wealth created</t>
        </is>
      </c>
      <c r="H26" s="10">
        <f>H24</f>
        <v/>
      </c>
    </row>
    <row r="28">
      <c r="A28" s="2" t="inlineStr">
        <is>
          <t>Notes: Year 5 deductions are held at Year 4's level per the book's model. Nearly all cash flow reinvests during the build (down payments, retiring the 0% card balances); year six is the payday. Full narrative: 'The 5-Year Wealth Model' PDF in this Bonus Pack.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2026-07-23T16:52:41Z</dcterms:created>
  <dcterms:modified xsi:type="dcterms:W3CDTF">2026-07-23T16:52:41Z</dcterms:modified>
</cp:coreProperties>
</file>