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zer" sheetId="1" state="visible" r:id="rId1"/>
    <sheet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3" borderId="1" pivotButton="0" quotePrefix="0" xfId="0"/>
    <xf numFmtId="9" fontId="0" fillId="3" borderId="1" pivotButton="0" quotePrefix="0" xfId="0"/>
    <xf numFmtId="0" fontId="2" fillId="0" borderId="0" applyAlignment="1" pivotButton="0" quotePrefix="0" xfId="0">
      <alignment vertical="center" wrapText="1"/>
    </xf>
    <xf numFmtId="165" fontId="0" fillId="3" borderId="1" pivotButton="0" quotePrefix="0" xfId="0"/>
    <xf numFmtId="1" fontId="0" fillId="3" borderId="1" pivotButton="0" quotePrefix="0" xfId="0"/>
    <xf numFmtId="164" fontId="0" fillId="4" borderId="1" pivotButton="0" quotePrefix="0" xfId="0"/>
    <xf numFmtId="166" fontId="0" fillId="4" borderId="1" pivotButton="0" quotePrefix="0" xfId="0"/>
    <xf numFmtId="166" fontId="4" fillId="4" borderId="1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167" fontId="0" fillId="3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7" fontId="0" fillId="4" borderId="1" pivotButton="0" quotePrefix="0" xfId="0"/>
    <xf numFmtId="0" fontId="4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Deal Analyzer — the RURAL Method money math (Chapters 7–9)</t>
        </is>
      </c>
    </row>
    <row r="2" ht="30" customHeight="1">
      <c r="A2" s="2" t="inlineStr">
        <is>
          <t>Yellow cells are inputs. Gray cells compute. One rule, three checks: judge the 30% Floor at the median comps, underwrite at the conservative 25th percentile, and make sure the house survives at long-term market rent. Fail any one, walk.</t>
        </is>
      </c>
    </row>
    <row r="4">
      <c r="A4" s="3" t="inlineStr">
        <is>
          <t>1 · PURCHASE &amp; FINANCING</t>
        </is>
      </c>
      <c r="B4" s="4" t="n"/>
      <c r="C4" s="4" t="n"/>
      <c r="D4" s="4" t="n"/>
    </row>
    <row r="5">
      <c r="A5" s="5" t="inlineStr">
        <is>
          <t>Purchase price</t>
        </is>
      </c>
      <c r="B5" s="6" t="n">
        <v>250000</v>
      </c>
    </row>
    <row r="6">
      <c r="A6" s="5" t="inlineStr">
        <is>
          <t>Down payment %</t>
        </is>
      </c>
      <c r="B6" s="7" t="n">
        <v>0.1</v>
      </c>
    </row>
    <row r="7">
      <c r="A7" s="5" t="inlineStr">
        <is>
          <t>Closing costs (net of seller credits)</t>
        </is>
      </c>
      <c r="B7" s="6" t="n">
        <v>4000</v>
      </c>
      <c r="D7" s="8" t="inlineStr">
        <is>
          <t>Always try to offset these with a negotiated seller credit.</t>
        </is>
      </c>
    </row>
    <row r="8">
      <c r="A8" s="5" t="inlineStr">
        <is>
          <t>Renovation</t>
        </is>
      </c>
      <c r="B8" s="6" t="n">
        <v>0</v>
      </c>
    </row>
    <row r="9">
      <c r="A9" s="5" t="inlineStr">
        <is>
          <t>Furniture, design &amp; setup</t>
        </is>
      </c>
      <c r="B9" s="6" t="n">
        <v>30000</v>
      </c>
      <c r="D9" s="8" t="inlineStr">
        <is>
          <t>Even if it's floated on 0% cards, it counts as invested. Honest math scales; hopeful math dies.</t>
        </is>
      </c>
    </row>
    <row r="10">
      <c r="A10" s="5" t="inlineStr">
        <is>
          <t>Loan interest rate (annual)</t>
        </is>
      </c>
      <c r="B10" s="9" t="n">
        <v>0.07000000000000001</v>
      </c>
    </row>
    <row r="11">
      <c r="A11" s="5" t="inlineStr">
        <is>
          <t>Loan term (years)</t>
        </is>
      </c>
      <c r="B11" s="10" t="n">
        <v>30</v>
      </c>
    </row>
    <row r="12">
      <c r="A12" s="5" t="inlineStr">
        <is>
          <t>Property tax ($/year, escrowed into PITI)</t>
        </is>
      </c>
      <c r="B12" s="6" t="n">
        <v>1800</v>
      </c>
      <c r="D12" s="8" t="inlineStr">
        <is>
          <t>Model taxes on what YOU are paying, not the seller's bill.</t>
        </is>
      </c>
    </row>
    <row r="13">
      <c r="A13" s="5" t="inlineStr">
        <is>
          <t>STR insurance ($/year, escrowed into PITI)</t>
        </is>
      </c>
      <c r="B13" s="6" t="n">
        <v>3000</v>
      </c>
      <c r="D13" s="8" t="inlineStr">
        <is>
          <t>A bindable STR-policy quote, not the homeowners number.</t>
        </is>
      </c>
    </row>
    <row r="14">
      <c r="A14" s="5" t="inlineStr">
        <is>
          <t>Loan amount</t>
        </is>
      </c>
      <c r="B14" s="11">
        <f>B5*(1-B6)</f>
        <v/>
      </c>
    </row>
    <row r="15">
      <c r="A15" s="5" t="inlineStr">
        <is>
          <t>Monthly principal &amp; interest (PMT)</t>
        </is>
      </c>
      <c r="B15" s="12">
        <f>-PMT(B10/12,B11*12,B14)</f>
        <v/>
      </c>
    </row>
    <row r="16">
      <c r="A16" s="5" t="inlineStr">
        <is>
          <t>Monthly PITI (P&amp;I + taxes + insurance)</t>
        </is>
      </c>
      <c r="B16" s="13">
        <f>B15+(B12+B13)/12</f>
        <v/>
      </c>
      <c r="D16" s="8" t="inlineStr">
        <is>
          <t>The payment is what protects you in slow months.</t>
        </is>
      </c>
    </row>
    <row r="18">
      <c r="A18" s="3" t="inlineStr">
        <is>
          <t>2 · REVENUE — RUN TWO SCENARIOS, NOT ONE</t>
        </is>
      </c>
      <c r="B18" s="4" t="n"/>
      <c r="C18" s="4" t="n"/>
      <c r="D18" s="4" t="n"/>
    </row>
    <row r="19">
      <c r="B19" s="14" t="inlineStr">
        <is>
          <t>Moderate (50th pct)</t>
        </is>
      </c>
      <c r="C19" s="14" t="inlineStr">
        <is>
          <t>Conservative (25th pct)</t>
        </is>
      </c>
      <c r="D19" s="15" t="inlineStr">
        <is>
          <t>Hard data: the 25th and 50th percentiles of the comps, not optimistic and pessimistic guesses.</t>
        </is>
      </c>
    </row>
    <row r="20">
      <c r="A20" s="5" t="inlineStr">
        <is>
          <t>Projected ADR ($/night)</t>
        </is>
      </c>
      <c r="B20" s="6" t="n">
        <v>295</v>
      </c>
      <c r="C20" s="6" t="n">
        <v>274</v>
      </c>
    </row>
    <row r="21">
      <c r="A21" s="5" t="inlineStr">
        <is>
          <t>Occupancy %</t>
        </is>
      </c>
      <c r="B21" s="7" t="n">
        <v>0.65</v>
      </c>
      <c r="C21" s="7" t="n">
        <v>0.5</v>
      </c>
    </row>
    <row r="22">
      <c r="A22" s="5" t="inlineStr">
        <is>
          <t>Cleaning cost per turn ($)</t>
        </is>
      </c>
      <c r="B22" s="6" t="n">
        <v>160</v>
      </c>
      <c r="C22" s="6" t="n">
        <v>160</v>
      </c>
      <c r="D22" s="8" t="inlineStr">
        <is>
          <t>Real numbers: $100–$150/turn for smaller homes (1–3BR), $150–$400 for larger.</t>
        </is>
      </c>
    </row>
    <row r="23">
      <c r="A23" s="5" t="inlineStr">
        <is>
          <t>Turns per month</t>
        </is>
      </c>
      <c r="B23" s="16" t="n">
        <v>4</v>
      </c>
      <c r="C23" s="16" t="n">
        <v>3</v>
      </c>
    </row>
    <row r="24">
      <c r="A24" s="5" t="inlineStr">
        <is>
          <t>Gross annual revenue (ADR × 365 × occupancy)</t>
        </is>
      </c>
      <c r="B24" s="17">
        <f>B20*365*B21</f>
        <v/>
      </c>
      <c r="C24" s="17">
        <f>C20*365*C21</f>
        <v/>
      </c>
    </row>
    <row r="26">
      <c r="A26" s="3" t="inlineStr">
        <is>
          <t>3 · OPERATING EXPENSES (monthly)</t>
        </is>
      </c>
      <c r="B26" s="4" t="n"/>
      <c r="C26" s="4" t="n"/>
      <c r="D26" s="4" t="n"/>
    </row>
    <row r="27">
      <c r="A27" s="5" t="inlineStr">
        <is>
          <t>Utilities — all ($/month)</t>
        </is>
      </c>
      <c r="B27" s="6" t="n">
        <v>250</v>
      </c>
      <c r="D27" s="8" t="inlineStr">
        <is>
          <t>Budget the seasonal highs, not the averages. Winter propane can triple the bill.</t>
        </is>
      </c>
    </row>
    <row r="28">
      <c r="A28" s="5" t="inlineStr">
        <is>
          <t>Software &amp; tools ($/month)</t>
        </is>
      </c>
      <c r="B28" s="6" t="n">
        <v>75</v>
      </c>
    </row>
    <row r="29">
      <c r="A29" s="5" t="inlineStr">
        <is>
          <t>Other: restocking, maintenance, repairs, lawn ($/month)</t>
        </is>
      </c>
      <c r="B29" s="6" t="n">
        <v>550</v>
      </c>
      <c r="D29" s="8" t="inlineStr">
        <is>
          <t>Pad your expenses. Don't pinch them.</t>
        </is>
      </c>
    </row>
    <row r="30">
      <c r="A30" s="5" t="inlineStr">
        <is>
          <t>Property manager (% of gross revenue — 0% if self-managed)</t>
        </is>
      </c>
      <c r="B30" s="7" t="n">
        <v>0</v>
      </c>
    </row>
    <row r="32">
      <c r="A32" s="3" t="inlineStr">
        <is>
          <t>4 · RESULTS</t>
        </is>
      </c>
      <c r="B32" s="4" t="n"/>
      <c r="C32" s="4" t="n"/>
      <c r="D32" s="4" t="n"/>
    </row>
    <row r="33">
      <c r="B33" s="14" t="inlineStr">
        <is>
          <t>Moderate</t>
        </is>
      </c>
      <c r="C33" s="14" t="inlineStr">
        <is>
          <t>Conservative</t>
        </is>
      </c>
    </row>
    <row r="34">
      <c r="A34" s="5" t="inlineStr">
        <is>
          <t>Annual cleaning &amp; turnover</t>
        </is>
      </c>
      <c r="B34" s="11">
        <f>B22*B23*12</f>
        <v/>
      </c>
      <c r="C34" s="11">
        <f>C22*C23*12</f>
        <v/>
      </c>
    </row>
    <row r="35">
      <c r="A35" s="5" t="inlineStr">
        <is>
          <t>Annual property-manager fee</t>
        </is>
      </c>
      <c r="B35" s="11">
        <f>$B$30*B24</f>
        <v/>
      </c>
      <c r="C35" s="11">
        <f>$B$30*C24</f>
        <v/>
      </c>
    </row>
    <row r="36">
      <c r="A36" s="5" t="inlineStr">
        <is>
          <t>Annual operating expenses</t>
        </is>
      </c>
      <c r="B36" s="11">
        <f>B34+B35+($B$27+$B$28+$B$29)*12</f>
        <v/>
      </c>
      <c r="C36" s="11">
        <f>C34+C35+($B$27+$B$28+$B$29)*12</f>
        <v/>
      </c>
    </row>
    <row r="37">
      <c r="A37" s="5" t="inlineStr">
        <is>
          <t>Annual PITI (mortgage, taxes, insurance)</t>
        </is>
      </c>
      <c r="B37" s="11">
        <f>$B$16*12</f>
        <v/>
      </c>
      <c r="C37" s="11">
        <f>$B$16*12</f>
        <v/>
      </c>
    </row>
    <row r="38">
      <c r="A38" s="5" t="inlineStr">
        <is>
          <t>Total annual expenses</t>
        </is>
      </c>
      <c r="B38" s="17">
        <f>B36+B37</f>
        <v/>
      </c>
      <c r="C38" s="17">
        <f>C36+C37</f>
        <v/>
      </c>
    </row>
    <row r="39">
      <c r="A39" s="5" t="inlineStr">
        <is>
          <t>Annual net cash flow</t>
        </is>
      </c>
      <c r="B39" s="17">
        <f>B24-B38</f>
        <v/>
      </c>
      <c r="C39" s="17">
        <f>C24-C38</f>
        <v/>
      </c>
    </row>
    <row r="40">
      <c r="A40" s="5" t="inlineStr">
        <is>
          <t>Initial cash invested (down + closing + reno + setup)</t>
        </is>
      </c>
      <c r="B40" s="17">
        <f>B5*B6+B7+B8+B9</f>
        <v/>
      </c>
      <c r="C40" s="11">
        <f>B5*B6+B7+B8+B9</f>
        <v/>
      </c>
      <c r="D40" s="8" t="inlineStr">
        <is>
          <t>Card-floated setup counts. You're still on the hook for it, and your ROI should reflect the full picture.</t>
        </is>
      </c>
    </row>
    <row r="41">
      <c r="A41" s="5" t="inlineStr">
        <is>
          <t>Cash-on-cash return (net ÷ invested)</t>
        </is>
      </c>
      <c r="B41" s="18">
        <f>B39/B40</f>
        <v/>
      </c>
      <c r="C41" s="18">
        <f>C39/C40</f>
        <v/>
      </c>
    </row>
    <row r="42">
      <c r="A42" s="5" t="inlineStr">
        <is>
          <t>Payback period (years)</t>
        </is>
      </c>
      <c r="B42" s="19">
        <f>B40/B39</f>
        <v/>
      </c>
      <c r="C42" s="19">
        <f>C40/C39</f>
        <v/>
      </c>
      <c r="D42" s="8" t="inlineStr">
        <is>
          <t>Don't chase the highest percentage. Chase the fastest capital recovery.</t>
        </is>
      </c>
    </row>
    <row r="44">
      <c r="A44" s="3" t="inlineStr">
        <is>
          <t>5 · THE FOUR CHECKS — FAIL ANY ONE, WALK</t>
        </is>
      </c>
      <c r="B44" s="4" t="n"/>
      <c r="C44" s="4" t="n"/>
      <c r="D44" s="4" t="n"/>
    </row>
    <row r="45" ht="30" customHeight="1">
      <c r="A45" s="20" t="inlineStr">
        <is>
          <t>CHECK 1 — The 30% Floor, judged at the median comps</t>
        </is>
      </c>
      <c r="B45" s="21">
        <f>IF(B41&gt;=0.3,"PASS — 30%+ at the median. Go for it.","WALK — under 30% at the median comps.")</f>
        <v/>
      </c>
      <c r="C45" s="22" t="n"/>
      <c r="D45" s="23" t="n"/>
    </row>
    <row r="46" ht="30" customHeight="1">
      <c r="A46" s="20" t="inlineStr">
        <is>
          <t>CHECK 2 — Conservative 25th-percentile underwrite</t>
        </is>
      </c>
      <c r="B46" s="21">
        <f>IF(C39&lt;=0,"FAIL — doesn't cash flow at the 25th percentile. Don't buy it, no matter what the median promises.",IF(C41&gt;=0.25,"PASS — cash flows at the 25th percentile and lands near 25% on your cash.","PASS — cash flows at the 25th percentile (ideally it lands near 25% on your cash)."))</f>
        <v/>
      </c>
      <c r="C46" s="22" t="n"/>
      <c r="D46" s="23" t="n"/>
    </row>
    <row r="47">
      <c r="A47" s="5" t="inlineStr">
        <is>
          <t>Stress-test revenue haircut (use 25–30%)</t>
        </is>
      </c>
      <c r="B47" s="7" t="n">
        <v>0.3</v>
      </c>
      <c r="D47" s="15" t="inlineStr">
        <is>
          <t>Occupancy and rate fall together in a downturn; cutting occupancy alone flatters the deal.</t>
        </is>
      </c>
    </row>
    <row r="48">
      <c r="A48" s="5" t="inlineStr">
        <is>
          <t>Stressed gross revenue (moderate, haircut applied)</t>
        </is>
      </c>
      <c r="B48" s="11">
        <f>B24*(1-B47)</f>
        <v/>
      </c>
    </row>
    <row r="49">
      <c r="A49" s="5" t="inlineStr">
        <is>
          <t>Stressed net cash flow</t>
        </is>
      </c>
      <c r="B49" s="11">
        <f>B48-B37-($B$27+$B$28+$B$29)*12-B34*(1-B47)-$B$30*B48</f>
        <v/>
      </c>
      <c r="D49" s="8" t="inlineStr">
        <is>
          <t>Cleaning and PM fees scale down with the bookings; PITI and fixed costs don't.</t>
        </is>
      </c>
    </row>
    <row r="50" ht="30" customHeight="1">
      <c r="A50" s="20" t="inlineStr">
        <is>
          <t>CHECK 3 — Stress test at a 25–30% revenue haircut</t>
        </is>
      </c>
      <c r="B50" s="21">
        <f>IF(B49&gt;0,"PASS — still cash flows with the haircut. It can weather bad years, new competition, or a poor season.","FAIL — the haircut kills the cash flow. That's not a deal. That's a hope.")</f>
        <v/>
      </c>
      <c r="C50" s="22" t="n"/>
      <c r="D50" s="23" t="n"/>
    </row>
    <row r="51">
      <c r="A51" s="5" t="inlineStr">
        <is>
          <t>Market long-term rent ($/month)</t>
        </is>
      </c>
      <c r="B51" s="6" t="n">
        <v>1600</v>
      </c>
      <c r="D51" s="8" t="inlineStr">
        <is>
          <t>The nuclear scenario: if short-term renting stopped working tomorrow.</t>
        </is>
      </c>
    </row>
    <row r="52" ht="30" customHeight="1">
      <c r="A52" s="20" t="inlineStr">
        <is>
          <t>CHECK 4 — Long-term-rental fallback (rent covers ~80% of the payment)</t>
        </is>
      </c>
      <c r="B52" s="21">
        <f>IF(B51&gt;=0.8*B16,"PASS — the house survives as a plain long-term rental.","FAIL — the house doesn't survive as a plain long-term rental at market rent.")</f>
        <v/>
      </c>
      <c r="C52" s="22" t="n"/>
      <c r="D52" s="23" t="n"/>
    </row>
    <row r="54">
      <c r="A54" s="3" t="inlineStr">
        <is>
          <t>6 · THE CARD CAP (Chapter 7)</t>
        </is>
      </c>
      <c r="B54" s="4" t="n"/>
      <c r="C54" s="4" t="n"/>
      <c r="D54" s="4" t="n"/>
    </row>
    <row r="55">
      <c r="A55" s="5" t="inlineStr">
        <is>
          <t>Amount floated on 0% cards ($)</t>
        </is>
      </c>
      <c r="B55" s="6" t="n">
        <v>30000</v>
      </c>
    </row>
    <row r="56">
      <c r="A56" s="5" t="inlineStr">
        <is>
          <t>Six months of conservative-case cash flow</t>
        </is>
      </c>
      <c r="B56" s="11">
        <f>C39/2</f>
        <v/>
      </c>
    </row>
    <row r="57" ht="30" customHeight="1">
      <c r="A57" s="20" t="inlineStr">
        <is>
          <t>Card cap check</t>
        </is>
      </c>
      <c r="B57" s="21">
        <f>IF(B55&lt;=C39/2,"OK — six months of conservative-case cash flow can retire the float.","OVER CAP — never float more on 0% cards than six months of conservative-case cash flow can retire. Float less, or furnish in stages out of cash flow.")</f>
        <v/>
      </c>
      <c r="C57" s="22" t="n"/>
      <c r="D57" s="23" t="n"/>
    </row>
    <row r="59">
      <c r="A59" s="2" t="inlineStr">
        <is>
          <t>Notes: taxes and insurance are escrowed into PITI here, so they are not double-counted in operating expenses. Gross includes cleaning and extra-guest fees on top of the nightly rate. Haircut any revenue-tool projection by 10–15% and underwrite on trailing-twelve-month comps.</t>
        </is>
      </c>
    </row>
    <row r="60"/>
  </sheetData>
  <mergeCells count="13">
    <mergeCell ref="A18:D18"/>
    <mergeCell ref="B45:D45"/>
    <mergeCell ref="B46:D46"/>
    <mergeCell ref="A4:D4"/>
    <mergeCell ref="B57:D57"/>
    <mergeCell ref="A26:D26"/>
    <mergeCell ref="B50:D50"/>
    <mergeCell ref="A54:D54"/>
    <mergeCell ref="B52:D52"/>
    <mergeCell ref="A59:D60"/>
    <mergeCell ref="A2:D2"/>
    <mergeCell ref="A32:D32"/>
    <mergeCell ref="A44:D44"/>
  </mergeCells>
  <conditionalFormatting sqref="B45:D46">
    <cfRule type="containsText" priority="1" operator="containsText" dxfId="0" text="WALK">
      <formula>NOT(ISERROR(SEARCH("WALK",B45)))</formula>
    </cfRule>
    <cfRule type="containsText" priority="2" operator="containsText" dxfId="1" text="PASS">
      <formula>NOT(ISERROR(SEARCH("PASS",B45)))</formula>
    </cfRule>
  </conditionalFormatting>
  <conditionalFormatting sqref="B50:D52">
    <cfRule type="containsText" priority="3" operator="containsText" dxfId="0" text="FAIL">
      <formula>NOT(ISERROR(SEARCH("FAIL",B50)))</formula>
    </cfRule>
    <cfRule type="containsText" priority="4" operator="containsText" dxfId="1" text="PASS">
      <formula>NOT(ISERROR(SEARCH("PASS",B50)))</formula>
    </cfRule>
  </conditionalFormatting>
  <conditionalFormatting sqref="B57:D57">
    <cfRule type="containsText" priority="5" operator="containsText" dxfId="0" text="OVER CAP">
      <formula>NOT(ISERROR(SEARCH("OVER CAP",B57)))</formula>
    </cfRule>
    <cfRule type="containsText" priority="6" operator="containsText" dxfId="1" text="OK —">
      <formula>NOT(ISERROR(SEARCH("OK —",B57)))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>
      <c r="A1" s="1" t="inlineStr">
        <is>
          <t>Quick Reference — expense ranges &amp; underwriting standards</t>
        </is>
      </c>
    </row>
    <row r="3">
      <c r="A3" s="3" t="inlineStr">
        <is>
          <t>REALISTIC EXPENSE RANGES FOR RURAL AIRBNBS (Chapter 8 — for a $150,000–$300,000 property)</t>
        </is>
      </c>
      <c r="B3" s="4" t="n"/>
    </row>
    <row r="4">
      <c r="A4" s="24" t="inlineStr">
        <is>
          <t>Item</t>
        </is>
      </c>
      <c r="B4" s="24" t="inlineStr">
        <is>
          <t>Range</t>
        </is>
      </c>
    </row>
    <row r="5">
      <c r="A5" s="25" t="inlineStr">
        <is>
          <t>Mortgage (PITI)</t>
        </is>
      </c>
      <c r="B5" s="25" t="inlineStr">
        <is>
          <t>$1,200–$2,400/month</t>
        </is>
      </c>
    </row>
    <row r="6">
      <c r="A6" s="25" t="inlineStr">
        <is>
          <t>Cleaning and turnover</t>
        </is>
      </c>
      <c r="B6" s="25" t="inlineStr">
        <is>
          <t>$100–$150/stay for smaller homes (1–3BR), $150–$400 for larger homes</t>
        </is>
      </c>
    </row>
    <row r="7">
      <c r="A7" s="25" t="inlineStr">
        <is>
          <t>Utilities (all)</t>
        </is>
      </c>
      <c r="B7" s="25" t="inlineStr">
        <is>
          <t>$150–$300/month, higher in winter with heating</t>
        </is>
      </c>
    </row>
    <row r="8">
      <c r="A8" s="25" t="inlineStr">
        <is>
          <t>STR insurance</t>
        </is>
      </c>
      <c r="B8" s="25" t="inlineStr">
        <is>
          <t>$210–$500/month ($2,500–$6,000 a year for the cabins this book targets)</t>
        </is>
      </c>
    </row>
    <row r="9">
      <c r="A9" s="25" t="inlineStr">
        <is>
          <t>Property taxes</t>
        </is>
      </c>
      <c r="B9" s="25" t="inlineStr">
        <is>
          <t>$50–$200/month, if not escrowed</t>
        </is>
      </c>
    </row>
    <row r="10">
      <c r="A10" s="25" t="inlineStr">
        <is>
          <t>Maintenance and repairs</t>
        </is>
      </c>
      <c r="B10" s="25" t="inlineStr">
        <is>
          <t>$150–$300/month</t>
        </is>
      </c>
    </row>
    <row r="11">
      <c r="A11" s="25" t="inlineStr">
        <is>
          <t>Restocking and amenities</t>
        </is>
      </c>
      <c r="B11" s="25" t="inlineStr">
        <is>
          <t>$100–$200/month</t>
        </is>
      </c>
    </row>
    <row r="12">
      <c r="A12" s="25" t="inlineStr">
        <is>
          <t>Software and tools</t>
        </is>
      </c>
      <c r="B12" s="25" t="inlineStr">
        <is>
          <t>$50–$100/month</t>
        </is>
      </c>
    </row>
    <row r="13">
      <c r="A13" s="25" t="inlineStr">
        <is>
          <t>Property manager (if used)</t>
        </is>
      </c>
      <c r="B13" s="25" t="inlineStr">
        <is>
          <t>$500–$1,500/month</t>
        </is>
      </c>
    </row>
    <row r="14">
      <c r="A14" s="25" t="inlineStr">
        <is>
          <t>Lawn and snow (seasonal)</t>
        </is>
      </c>
      <c r="B14" s="25" t="inlineStr">
        <is>
          <t>$200–$500/month</t>
        </is>
      </c>
    </row>
    <row r="15">
      <c r="A15" s="15" t="inlineStr">
        <is>
          <t>Pad your expenses. Don't pinch them. If the deal still works at the upper end of every range, it's a home run.</t>
        </is>
      </c>
    </row>
    <row r="16"/>
    <row r="17">
      <c r="A17" s="3" t="inlineStr">
        <is>
          <t>UNDERWRITING STANDARDS (Chapters 5 &amp; 8)</t>
        </is>
      </c>
      <c r="B17" s="4" t="n"/>
    </row>
    <row r="18">
      <c r="A18" s="24" t="inlineStr">
        <is>
          <t>Occupancy</t>
        </is>
      </c>
      <c r="B18" s="25" t="inlineStr">
        <is>
          <t>60–70% or better. If a deal only works at 80%+ occupancy, skip it — you're buying stress.</t>
        </is>
      </c>
    </row>
    <row r="19">
      <c r="A19" s="24" t="inlineStr">
        <is>
          <t>Revenue</t>
        </is>
      </c>
      <c r="B19" s="25" t="inlineStr">
        <is>
          <t>Whatever nightly rate it takes to pencil at least $70K a year in gross revenue.</t>
        </is>
      </c>
    </row>
    <row r="20">
      <c r="A20" s="24" t="inlineStr">
        <is>
          <t>The home (minimum specs)</t>
        </is>
      </c>
      <c r="B20" s="25" t="inlineStr">
        <is>
          <t>4 bed, 3 bath with 2,000+ square feet and good bones, mostly $250K–$350K. Minimum: 3 bed, 2 bath, 1,500 square feet — never go smaller.</t>
        </is>
      </c>
    </row>
    <row r="21">
      <c r="A21" s="24" t="inlineStr">
        <is>
          <t>The market</t>
        </is>
      </c>
      <c r="B21" s="25" t="inlineStr">
        <is>
          <t>Fewer than 100 listings total, and only a handful of truly great ones. Anchor demand within 30 minutes.</t>
        </is>
      </c>
    </row>
    <row r="22">
      <c r="A22" s="24" t="inlineStr">
        <is>
          <t>The 30% Floor</t>
        </is>
      </c>
      <c r="B22" s="25" t="inlineStr">
        <is>
          <t>Judge at the moderate projection (the median comps); under 30% cash-on-cash there, walk.</t>
        </is>
      </c>
    </row>
    <row r="23">
      <c r="A23" s="24" t="inlineStr">
        <is>
          <t>Conservative underwrite</t>
        </is>
      </c>
      <c r="B23" s="25" t="inlineStr">
        <is>
          <t>Underwrite at the 25th percentile of comps. The deal must still cash flow there, ideally near 25% on your cash.</t>
        </is>
      </c>
    </row>
    <row r="24">
      <c r="A24" s="24" t="inlineStr">
        <is>
          <t>Stress test</t>
        </is>
      </c>
      <c r="B24" s="25" t="inlineStr">
        <is>
          <t>Cut revenue 25–30%. If the haircut kills the cash flow, that's not a deal. That's a hope.</t>
        </is>
      </c>
    </row>
    <row r="25">
      <c r="A25" s="24" t="inlineStr">
        <is>
          <t>Long-term-rent fallback</t>
        </is>
      </c>
      <c r="B25" s="25" t="inlineStr">
        <is>
          <t>The house has to survive as a plain long-term rental if Airbnb vanished tomorrow.</t>
        </is>
      </c>
    </row>
    <row r="26">
      <c r="A26" s="24" t="inlineStr">
        <is>
          <t>Data discipline</t>
        </is>
      </c>
      <c r="B26" s="25" t="inlineStr">
        <is>
          <t>Underwrite on trailing-twelve-month comps only. Haircut any revenue-tool projection by 10–15%. Plan around the 25th percentile, not the average.</t>
        </is>
      </c>
    </row>
    <row r="27"/>
    <row r="28">
      <c r="A28" s="3" t="inlineStr">
        <is>
          <t>HIDDEN COSTS — BUILD THESE INTO EVERY DEAL (Chapter 8)</t>
        </is>
      </c>
      <c r="B28" s="4" t="n"/>
    </row>
    <row r="29">
      <c r="A29" s="24" t="inlineStr">
        <is>
          <t>Turnover labor/supplies</t>
        </is>
      </c>
      <c r="B29" s="25" t="inlineStr">
        <is>
          <t>$100–$150 a turn for smaller homes, $150–$400 for larger ones, × expected turns</t>
        </is>
      </c>
    </row>
    <row r="30">
      <c r="A30" s="24" t="inlineStr">
        <is>
          <t>Furniture replacement</t>
        </is>
      </c>
      <c r="B30" s="25" t="inlineStr">
        <is>
          <t>8–10% of furniture cost annually</t>
        </is>
      </c>
    </row>
    <row r="31">
      <c r="A31" s="24" t="inlineStr">
        <is>
          <t>Platform fees</t>
        </is>
      </c>
      <c r="B31" s="25" t="inlineStr">
        <is>
          <t>Whichever schedule you're actually on — 3% old-style or roughly 15% host-only — off the gross. Vrbo runs about 5% commission plus 3% payment processing.</t>
        </is>
      </c>
    </row>
    <row r="32">
      <c r="A32" s="24" t="inlineStr">
        <is>
          <t>Seasonal utilities</t>
        </is>
      </c>
      <c r="B32" s="25" t="inlineStr">
        <is>
          <t>Actual high/low months, not averages (e.g., $400–500/mo winter, $300–400/mo summer, $100–150/mo spring/fall ≈ $2,850/yr, not $1,800)</t>
        </is>
      </c>
    </row>
    <row r="33">
      <c r="A33" s="24" t="inlineStr">
        <is>
          <t>STR insurance</t>
        </is>
      </c>
      <c r="B33" s="25" t="inlineStr">
        <is>
          <t>A bindable STR-policy quote, not the homeowners number</t>
        </is>
      </c>
    </row>
    <row r="34">
      <c r="A34" s="24" t="inlineStr">
        <is>
          <t>Property and lodging taxes</t>
        </is>
      </c>
      <c r="B34" s="25" t="inlineStr">
        <is>
          <t>Modeled on your purchase price and your county's actual rules</t>
        </is>
      </c>
    </row>
    <row r="35">
      <c r="A35" s="24" t="inlineStr">
        <is>
          <t>Capex sinking fund</t>
        </is>
      </c>
      <c r="B35" s="25" t="inlineStr">
        <is>
          <t>1–2% of home value per year; minimum $10K liquid per property at all times</t>
        </is>
      </c>
    </row>
    <row r="36">
      <c r="A36" s="24" t="inlineStr">
        <is>
          <t>Emergency reserve</t>
        </is>
      </c>
      <c r="B36" s="25" t="inlineStr">
        <is>
          <t>5–10% of gross revenue. Not optional.</t>
        </is>
      </c>
    </row>
    <row r="37"/>
    <row r="38">
      <c r="A38" s="3" t="inlineStr">
        <is>
          <t>FUNDING RULES OF THUMB (Chapter 7)</t>
        </is>
      </c>
      <c r="B38" s="4" t="n"/>
    </row>
    <row r="39">
      <c r="A39" s="24" t="inlineStr">
        <is>
          <t>The card cap</t>
        </is>
      </c>
      <c r="B39" s="25" t="inlineStr">
        <is>
          <t>Never float more on 0% cards than six months of conservative-case cash flow can retire.</t>
        </is>
      </c>
    </row>
    <row r="40">
      <c r="A40" s="24" t="inlineStr">
        <is>
          <t>Reserves</t>
        </is>
      </c>
      <c r="B40" s="25" t="inlineStr">
        <is>
          <t>Close with six months of PITI in the bank. Never close so thin that one slow season forces bad decisions.</t>
        </is>
      </c>
    </row>
    <row r="41">
      <c r="A41" s="24" t="inlineStr">
        <is>
          <t>Cards vs. mortgage</t>
        </is>
      </c>
      <c r="B41" s="25" t="inlineStr">
        <is>
          <t>Maxed cards drag your credit score down right when you apply for a refinance — time them apart.</t>
        </is>
      </c>
    </row>
    <row r="42">
      <c r="A42" s="24" t="inlineStr">
        <is>
          <t>Count the cards</t>
        </is>
      </c>
      <c r="B42" s="25" t="inlineStr">
        <is>
          <t>Count 0% card balances as cash invested. It keeps your cash-on-cash calculation honest.</t>
        </is>
      </c>
    </row>
    <row r="43"/>
  </sheetData>
  <mergeCells count="5">
    <mergeCell ref="A38:B38"/>
    <mergeCell ref="A15:B15"/>
    <mergeCell ref="A28:B28"/>
    <mergeCell ref="A17:B1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2026-07-07T04:38:24Z</dcterms:created>
  <dcterms:modified xsi:type="dcterms:W3CDTF">2026-07-07T04:38:25Z</dcterms:modified>
</cp:coreProperties>
</file>